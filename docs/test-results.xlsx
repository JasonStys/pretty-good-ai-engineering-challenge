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son\Documents\Codex\2026-08-14\make-sure-that-the-code-runs\docs\"/>
    </mc:Choice>
  </mc:AlternateContent>
  <xr:revisionPtr revIDLastSave="0" documentId="13_ncr:1_{1F617BAF-4C3D-487A-A233-9013A0544A36}" xr6:coauthVersionLast="47" xr6:coauthVersionMax="47" xr10:uidLastSave="{00000000-0000-0000-0000-000000000000}"/>
  <bookViews>
    <workbookView xWindow="12230" yWindow="3900" windowWidth="9370" windowHeight="11710" xr2:uid="{00000000-000D-0000-FFFF-FFFF00000000}"/>
  </bookViews>
  <sheets>
    <sheet name="Summary" sheetId="1" r:id="rId1"/>
    <sheet name="Test_Groups" sheetId="2" r:id="rId2"/>
    <sheet name="Security" sheetId="3" r:id="rId3"/>
    <sheet name="CI_Workflows" sheetId="4" r:id="rId4"/>
  </sheets>
  <definedNames>
    <definedName name="_xlnm._FilterDatabase" localSheetId="3" hidden="1">CI_Workflows!$A$4:$E$9</definedName>
    <definedName name="_xlnm._FilterDatabase" localSheetId="2" hidden="1">Security!$A$4:$E$11</definedName>
    <definedName name="_xlnm._FilterDatabase" localSheetId="0" hidden="1">Summary!$A$4:$E$12</definedName>
    <definedName name="_xlnm._FilterDatabase" localSheetId="1" hidden="1">Test_Groups!$A$4:$E$16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 s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<sst xmlns="http://schemas.openxmlformats.org/spreadsheetml/2006/main" count="146" uniqueCount="126">
  <si>
    <t>Pretty Good AI Challenge — Verification</t>
  </si>
  <si>
    <t>Prepared for Jason Stys | 2026-08-14</t>
  </si>
  <si>
    <t>Metric</t>
  </si>
  <si>
    <t>Result</t>
  </si>
  <si>
    <t>Threshold</t>
  </si>
  <si>
    <t>Status</t>
  </si>
  <si>
    <t>Evidence</t>
  </si>
  <si>
    <t>Automated tests</t>
  </si>
  <si>
    <t>pytest</t>
  </si>
  <si>
    <t>Branch-aware coverage</t>
  </si>
  <si>
    <t>coverage.json</t>
  </si>
  <si>
    <t>mypy source errors</t>
  </si>
  <si>
    <t>mypy src</t>
  </si>
  <si>
    <t>Bandit findings</t>
  </si>
  <si>
    <t>bandit -r src</t>
  </si>
  <si>
    <t>Known dependency vulnerabilities</t>
  </si>
  <si>
    <t>pip-audit</t>
  </si>
  <si>
    <t>Live completed calls</t>
  </si>
  <si>
    <t>submission gate</t>
  </si>
  <si>
    <t>Source: local verification commands and artifacts/coverage.json. Live-call count is intentionally not inferred from mocks.</t>
  </si>
  <si>
    <t>Automated Test Groups</t>
  </si>
  <si>
    <t>Counts reconcile to the 54-test pytest result</t>
  </si>
  <si>
    <t>Area</t>
  </si>
  <si>
    <t>Tests</t>
  </si>
  <si>
    <t>Primary boundary</t>
  </si>
  <si>
    <t>Command</t>
  </si>
  <si>
    <t>FastAPI app</t>
  </si>
  <si>
    <t>PASS</t>
  </si>
  <si>
    <t>Health, signature rejection, bridge exception</t>
  </si>
  <si>
    <t>pytest tests/test_app.py</t>
  </si>
  <si>
    <t>Artifact persistence</t>
  </si>
  <si>
    <t>Atomic writes and bug aggregation</t>
  </si>
  <si>
    <t>pytest tests/test_artifacts.py</t>
  </si>
  <si>
    <t>CLI</t>
  </si>
  <si>
    <t>Routing and stable error codes</t>
  </si>
  <si>
    <t>pytest tests/test_cli.py</t>
  </si>
  <si>
    <t>Configuration</t>
  </si>
  <si>
    <t>Secrets, E.164, allowlist, URLs</t>
  </si>
  <si>
    <t>pytest tests/test_config.py</t>
  </si>
  <si>
    <t>Media bridge</t>
  </si>
  <si>
    <t>Frames, audio, events, cleanup</t>
  </si>
  <si>
    <t>pytest tests/test_media_bridge.py</t>
  </si>
  <si>
    <t>Structured QA</t>
  </si>
  <si>
    <t>Diarization and response schema</t>
  </si>
  <si>
    <t>pytest tests/test_qa.py</t>
  </si>
  <si>
    <t>Assessment runner</t>
  </si>
  <si>
    <t>Preflight, orchestration, failure evidence</t>
  </si>
  <si>
    <t>pytest tests/test_runner.py</t>
  </si>
  <si>
    <t>Scenarios</t>
  </si>
  <si>
    <t>Diversity and strict schema</t>
  </si>
  <si>
    <t>pytest tests/test_scenarios.py</t>
  </si>
  <si>
    <t>Telephony</t>
  </si>
  <si>
    <t>Fixed destination, recording, timeouts</t>
  </si>
  <si>
    <t>pytest tests/test_telephony.py</t>
  </si>
  <si>
    <t>Transcript</t>
  </si>
  <si>
    <t>Role mapping and omission</t>
  </si>
  <si>
    <t>pytest tests/test_transcript.py</t>
  </si>
  <si>
    <t>Submission validation</t>
  </si>
  <si>
    <t>Evidence consistency and secret scan</t>
  </si>
  <si>
    <t>pytest tests/test_validation.py</t>
  </si>
  <si>
    <t>TOTAL</t>
  </si>
  <si>
    <t>Security Validation</t>
  </si>
  <si>
    <t>Static, dependency, boundary, and data controls</t>
  </si>
  <si>
    <t>Control</t>
  </si>
  <si>
    <t>Risk addressed</t>
  </si>
  <si>
    <t>Evidence / source</t>
  </si>
  <si>
    <t>Destination allowlist</t>
  </si>
  <si>
    <t>Only +18054398008</t>
  </si>
  <si>
    <t>Unauthorized calling</t>
  </si>
  <si>
    <t>constants.py; telephony.py</t>
  </si>
  <si>
    <t>Twilio request signature</t>
  </si>
  <si>
    <t>Enabled by default</t>
  </si>
  <si>
    <t>Forged media session</t>
  </si>
  <si>
    <t>security.py; test_app.py</t>
  </si>
  <si>
    <t>Bandit</t>
  </si>
  <si>
    <t>0 findings</t>
  </si>
  <si>
    <t>Python security defects</t>
  </si>
  <si>
    <t>2026-08-14 local run</t>
  </si>
  <si>
    <t>0 known vulnerabilities</t>
  </si>
  <si>
    <t>Known dependency CVEs</t>
  </si>
  <si>
    <t>2026-08-14; pip 26.2.1</t>
  </si>
  <si>
    <t>Artifact secret scan</t>
  </si>
  <si>
    <t>OpenAI/Twilio/private-key patterns</t>
  </si>
  <si>
    <t>Credential disclosure</t>
  </si>
  <si>
    <t>validation.py</t>
  </si>
  <si>
    <t>Synthetic data schema</t>
  </si>
  <si>
    <t>Explicit marker required</t>
  </si>
  <si>
    <t>Real PHI leakage</t>
  </si>
  <si>
    <t>models.py; scenarios/default.yaml</t>
  </si>
  <si>
    <t>Live artifact review</t>
  </si>
  <si>
    <t>Not yet performed</t>
  </si>
  <si>
    <t>PENDING</t>
  </si>
  <si>
    <t>Voice/privacy disclosure</t>
  </si>
  <si>
    <t>docs/submission-checklist.md</t>
  </si>
  <si>
    <t>GitHub Actions Coverage</t>
  </si>
  <si>
    <t>Automated status, reports, and live-evidence gating</t>
  </si>
  <si>
    <t>Workflow</t>
  </si>
  <si>
    <t>Triggers</t>
  </si>
  <si>
    <t>Measures</t>
  </si>
  <si>
    <t>Output</t>
  </si>
  <si>
    <t>Failure behavior</t>
  </si>
  <si>
    <t>CI</t>
  </si>
  <si>
    <t>push, pull request, manual</t>
  </si>
  <si>
    <t>lint, format, types, Python 3.11–3.13 tests, build</t>
  </si>
  <si>
    <t>coverage XML; distributions</t>
  </si>
  <si>
    <t>blocks on any failure</t>
  </si>
  <si>
    <t>Security</t>
  </si>
  <si>
    <t>push, PR, weekly, manual</t>
  </si>
  <si>
    <t>Bandit, pip-audit, secret tests, CodeQL</t>
  </si>
  <si>
    <t>security alerts/logs</t>
  </si>
  <si>
    <t>blocks findings/advisories</t>
  </si>
  <si>
    <t>Performance</t>
  </si>
  <si>
    <t>code changes, weekly, manual</t>
  </si>
  <si>
    <t>runtime, CPU, allocation, page faults, Big-O, Radon</t>
  </si>
  <si>
    <t>performance JSON</t>
  </si>
  <si>
    <t>blocks budget regression</t>
  </si>
  <si>
    <t>Documentation</t>
  </si>
  <si>
    <t>docs changes, manual</t>
  </si>
  <si>
    <t>DOCX/XLSX parts, sheets, formulas, error cells</t>
  </si>
  <si>
    <t>four reports</t>
  </si>
  <si>
    <t>blocks malformed report</t>
  </si>
  <si>
    <t>Live submission gate</t>
  </si>
  <si>
    <t>artifact changes or manual</t>
  </si>
  <si>
    <t>ten real calls, media, transcript, scope, secrets</t>
  </si>
  <si>
    <t>JSON console summary</t>
  </si>
  <si>
    <t>fails until evidence is genuine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</si>
</sst>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5B6573"/>
      <name val="Aptos"/>
    </font>
    <font>
      <b/>
      <sz val="11"/>
      <color rgb="FFFFFFFF"/>
      <name val="Aptos"/>
    </font>
    <font>
      <sz val="10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5253D"/>
      </patternFill>
    </fill>
    <fill>
      <patternFill patternType="solid">
        <fgColor rgb="FF1F6F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pane ySplit="4" topLeftCell="A5" activePane="bottomLeft" state="frozen"/>
      <selection pane="bottomLeft" sqref="A1:E1"/>
    </sheetView>
  </sheetViews>
  <sheetFormatPr defaultRowHeight="14.5" x14ac:dyDescent="0.35"/>
  <cols>
    <col min="1" max="1" width="34" customWidth="1"/>
    <col min="2" max="4" width="16" customWidth="1"/>
    <col min="5" max="5" width="32" customWidth="1"/>
  </cols>
  <sheetData>
    <row r="1" spans="1:5" ht="34" customHeight="1" x14ac:dyDescent="0.35">
      <c r="A1" s="7" t="s">
        <v>0</v>
      </c>
      <c r="B1" s="6"/>
      <c r="C1" s="6"/>
      <c r="D1" s="6"/>
      <c r="E1" s="6"/>
    </row>
    <row r="2" spans="1:5" ht="26" customHeight="1" x14ac:dyDescent="0.35">
      <c r="A2" s="5" t="s">
        <v>1</v>
      </c>
      <c r="B2" s="6"/>
      <c r="C2" s="6"/>
      <c r="D2" s="6"/>
      <c r="E2" s="6"/>
    </row>
    <row r="4" spans="1:5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8" customHeight="1" x14ac:dyDescent="0.35">
      <c r="A5" s="2" t="s">
        <v>7</v>
      </c>
      <c r="B5" s="2">
        <v>54</v>
      </c>
      <c r="C5" s="2">
        <v>54</v>
      </c>
      <c r="D5" s="2" t="str">
        <f>IF(B5&gt;=C5,"PASS","FAIL")</f>
        <v>PASS</v>
      </c>
      <c r="E5" s="2" t="s">
        <v>8</v>
      </c>
    </row>
    <row r="6" spans="1:5" ht="28" customHeight="1" x14ac:dyDescent="0.35">
      <c r="A6" s="3" t="s">
        <v>9</v>
      </c>
      <c r="B6" s="4">
        <v>91.47</v>
      </c>
      <c r="C6" s="4">
        <v>90</v>
      </c>
      <c r="D6" s="3" t="str">
        <f>IF(B6&gt;=C6,"PASS","FAIL")</f>
        <v>PASS</v>
      </c>
      <c r="E6" s="3" t="s">
        <v>10</v>
      </c>
    </row>
    <row r="7" spans="1:5" ht="28" customHeight="1" x14ac:dyDescent="0.35">
      <c r="A7" s="2" t="s">
        <v>11</v>
      </c>
      <c r="B7" s="2">
        <v>0</v>
      </c>
      <c r="C7" s="2">
        <v>0</v>
      </c>
      <c r="D7" s="2" t="str">
        <f>IF(B7&lt;=C7,"PASS","FAIL")</f>
        <v>PASS</v>
      </c>
      <c r="E7" s="2" t="s">
        <v>12</v>
      </c>
    </row>
    <row r="8" spans="1:5" ht="28" customHeight="1" x14ac:dyDescent="0.35">
      <c r="A8" s="3" t="s">
        <v>13</v>
      </c>
      <c r="B8" s="3">
        <v>0</v>
      </c>
      <c r="C8" s="3">
        <v>0</v>
      </c>
      <c r="D8" s="3" t="str">
        <f>IF(B8&lt;=C8,"PASS","FAIL")</f>
        <v>PASS</v>
      </c>
      <c r="E8" s="3" t="s">
        <v>14</v>
      </c>
    </row>
    <row r="9" spans="1:5" ht="28" customHeight="1" x14ac:dyDescent="0.35">
      <c r="A9" s="2" t="s">
        <v>15</v>
      </c>
      <c r="B9" s="2">
        <v>0</v>
      </c>
      <c r="C9" s="2">
        <v>0</v>
      </c>
      <c r="D9" s="2" t="str">
        <f>IF(B9&lt;=C9,"PASS","FAIL")</f>
        <v>PASS</v>
      </c>
      <c r="E9" s="2" t="s">
        <v>16</v>
      </c>
    </row>
    <row r="10" spans="1:5" ht="28" customHeight="1" x14ac:dyDescent="0.35">
      <c r="A10" s="3" t="s">
        <v>17</v>
      </c>
      <c r="B10" s="3">
        <v>0</v>
      </c>
      <c r="C10" s="3">
        <v>10</v>
      </c>
      <c r="D10" s="3" t="str">
        <f>IF(B10&gt;=C10,"PASS","PENDING")</f>
        <v>PENDING</v>
      </c>
      <c r="E10" s="3" t="s">
        <v>18</v>
      </c>
    </row>
    <row r="11" spans="1:5" ht="28" customHeight="1" x14ac:dyDescent="0.35">
      <c r="A11" s="2"/>
      <c r="B11" s="2"/>
      <c r="C11" s="2"/>
      <c r="D11" s="2"/>
      <c r="E11" s="2"/>
    </row>
    <row r="12" spans="1:5" ht="28" customHeight="1" x14ac:dyDescent="0.35">
      <c r="A12" s="8" t="s">
        <v>19</v>
      </c>
      <c r="B12" s="8"/>
      <c r="C12" s="8"/>
      <c r="D12" s="8"/>
      <c r="E12" s="8"/>
    </row>
  </sheetData>
  <autoFilter ref="A4:E12" xr:uid="{00000000-0009-0000-0000-000000000000}"/>
  <mergeCells count="3">
    <mergeCell ref="A2:E2"/>
    <mergeCell ref="A1:E1"/>
    <mergeCell ref="A12:E12"/>
  </mergeCells>
  <conditionalFormatting sqref="D5:D10">
    <cfRule type="cellIs" dxfId="0" priority="1" operator="equal">
      <formula>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14" customWidth="1"/>
    <col min="4" max="4" width="42" customWidth="1"/>
    <col min="5" max="5" width="38" customWidth="1"/>
  </cols>
  <sheetData>
    <row r="1" spans="1:5" ht="34" customHeight="1" x14ac:dyDescent="0.35">
      <c r="A1" s="7" t="s">
        <v>20</v>
      </c>
      <c r="B1" s="6"/>
      <c r="C1" s="6"/>
      <c r="D1" s="6"/>
      <c r="E1" s="6"/>
    </row>
    <row r="2" spans="1:5" ht="26" customHeight="1" x14ac:dyDescent="0.35">
      <c r="A2" s="5" t="s">
        <v>21</v>
      </c>
      <c r="B2" s="6"/>
      <c r="C2" s="6"/>
      <c r="D2" s="6"/>
      <c r="E2" s="6"/>
    </row>
    <row r="4" spans="1:5" ht="28" customHeight="1" x14ac:dyDescent="0.35">
      <c r="A4" s="1" t="s">
        <v>22</v>
      </c>
      <c r="B4" s="1" t="s">
        <v>23</v>
      </c>
      <c r="C4" s="1" t="s">
        <v>5</v>
      </c>
      <c r="D4" s="1" t="s">
        <v>24</v>
      </c>
      <c r="E4" s="1" t="s">
        <v>25</v>
      </c>
    </row>
    <row r="5" spans="1:5" ht="28" customHeight="1" x14ac:dyDescent="0.35">
      <c r="A5" s="2" t="s">
        <v>26</v>
      </c>
      <c r="B5" s="2">
        <v>3</v>
      </c>
      <c r="C5" s="2" t="s">
        <v>27</v>
      </c>
      <c r="D5" s="2" t="s">
        <v>28</v>
      </c>
      <c r="E5" s="2" t="s">
        <v>29</v>
      </c>
    </row>
    <row r="6" spans="1:5" ht="28" customHeight="1" x14ac:dyDescent="0.35">
      <c r="A6" s="3" t="s">
        <v>30</v>
      </c>
      <c r="B6" s="3">
        <v>3</v>
      </c>
      <c r="C6" s="3" t="s">
        <v>27</v>
      </c>
      <c r="D6" s="3" t="s">
        <v>31</v>
      </c>
      <c r="E6" s="3" t="s">
        <v>32</v>
      </c>
    </row>
    <row r="7" spans="1:5" ht="28" customHeight="1" x14ac:dyDescent="0.35">
      <c r="A7" s="2" t="s">
        <v>33</v>
      </c>
      <c r="B7" s="2">
        <v>6</v>
      </c>
      <c r="C7" s="2" t="s">
        <v>27</v>
      </c>
      <c r="D7" s="2" t="s">
        <v>34</v>
      </c>
      <c r="E7" s="2" t="s">
        <v>35</v>
      </c>
    </row>
    <row r="8" spans="1:5" ht="28" customHeight="1" x14ac:dyDescent="0.35">
      <c r="A8" s="3" t="s">
        <v>36</v>
      </c>
      <c r="B8" s="3">
        <v>8</v>
      </c>
      <c r="C8" s="3" t="s">
        <v>27</v>
      </c>
      <c r="D8" s="3" t="s">
        <v>37</v>
      </c>
      <c r="E8" s="3" t="s">
        <v>38</v>
      </c>
    </row>
    <row r="9" spans="1:5" ht="28" customHeight="1" x14ac:dyDescent="0.35">
      <c r="A9" s="2" t="s">
        <v>39</v>
      </c>
      <c r="B9" s="2">
        <v>11</v>
      </c>
      <c r="C9" s="2" t="s">
        <v>27</v>
      </c>
      <c r="D9" s="2" t="s">
        <v>40</v>
      </c>
      <c r="E9" s="2" t="s">
        <v>41</v>
      </c>
    </row>
    <row r="10" spans="1:5" ht="28" customHeight="1" x14ac:dyDescent="0.35">
      <c r="A10" s="3" t="s">
        <v>42</v>
      </c>
      <c r="B10" s="3">
        <v>2</v>
      </c>
      <c r="C10" s="3" t="s">
        <v>27</v>
      </c>
      <c r="D10" s="3" t="s">
        <v>43</v>
      </c>
      <c r="E10" s="3" t="s">
        <v>44</v>
      </c>
    </row>
    <row r="11" spans="1:5" ht="28" customHeight="1" x14ac:dyDescent="0.35">
      <c r="A11" s="2" t="s">
        <v>45</v>
      </c>
      <c r="B11" s="2">
        <v>5</v>
      </c>
      <c r="C11" s="2" t="s">
        <v>27</v>
      </c>
      <c r="D11" s="2" t="s">
        <v>46</v>
      </c>
      <c r="E11" s="2" t="s">
        <v>47</v>
      </c>
    </row>
    <row r="12" spans="1:5" ht="28" customHeight="1" x14ac:dyDescent="0.35">
      <c r="A12" s="3" t="s">
        <v>48</v>
      </c>
      <c r="B12" s="3">
        <v>7</v>
      </c>
      <c r="C12" s="3" t="s">
        <v>27</v>
      </c>
      <c r="D12" s="3" t="s">
        <v>49</v>
      </c>
      <c r="E12" s="3" t="s">
        <v>50</v>
      </c>
    </row>
    <row r="13" spans="1:5" ht="28" customHeight="1" x14ac:dyDescent="0.35">
      <c r="A13" s="2" t="s">
        <v>51</v>
      </c>
      <c r="B13" s="2">
        <v>4</v>
      </c>
      <c r="C13" s="2" t="s">
        <v>27</v>
      </c>
      <c r="D13" s="2" t="s">
        <v>52</v>
      </c>
      <c r="E13" s="2" t="s">
        <v>53</v>
      </c>
    </row>
    <row r="14" spans="1:5" ht="28" customHeight="1" x14ac:dyDescent="0.35">
      <c r="A14" s="3" t="s">
        <v>54</v>
      </c>
      <c r="B14" s="3">
        <v>2</v>
      </c>
      <c r="C14" s="3" t="s">
        <v>27</v>
      </c>
      <c r="D14" s="3" t="s">
        <v>55</v>
      </c>
      <c r="E14" s="3" t="s">
        <v>56</v>
      </c>
    </row>
    <row r="15" spans="1:5" ht="28" customHeight="1" x14ac:dyDescent="0.35">
      <c r="A15" s="2" t="s">
        <v>57</v>
      </c>
      <c r="B15" s="2">
        <v>3</v>
      </c>
      <c r="C15" s="2" t="s">
        <v>27</v>
      </c>
      <c r="D15" s="2" t="s">
        <v>58</v>
      </c>
      <c r="E15" s="2" t="s">
        <v>59</v>
      </c>
    </row>
    <row r="16" spans="1:5" ht="28" customHeight="1" x14ac:dyDescent="0.35">
      <c r="A16" s="3" t="s">
        <v>60</v>
      </c>
      <c r="B16" s="3">
        <f>SUM(B5:B15)</f>
        <v>54</v>
      </c>
      <c r="C16" s="3" t="str">
        <f>IF(B16=54,"PASS","FAIL")</f>
        <v>PASS</v>
      </c>
      <c r="D16" s="3"/>
      <c r="E16" s="3"/>
    </row>
  </sheetData>
  <autoFilter ref="A4:E16" xr:uid="{00000000-0009-0000-0000-000001000000}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32" customWidth="1"/>
    <col min="3" max="3" width="15" customWidth="1"/>
    <col min="4" max="4" width="34" customWidth="1"/>
    <col min="5" max="5" width="42" customWidth="1"/>
  </cols>
  <sheetData>
    <row r="1" spans="1:5" ht="34" customHeight="1" x14ac:dyDescent="0.35">
      <c r="A1" s="7" t="s">
        <v>61</v>
      </c>
      <c r="B1" s="6"/>
      <c r="C1" s="6"/>
      <c r="D1" s="6"/>
      <c r="E1" s="6"/>
    </row>
    <row r="2" spans="1:5" ht="26" customHeight="1" x14ac:dyDescent="0.35">
      <c r="A2" s="5" t="s">
        <v>62</v>
      </c>
      <c r="B2" s="6"/>
      <c r="C2" s="6"/>
      <c r="D2" s="6"/>
      <c r="E2" s="6"/>
    </row>
    <row r="4" spans="1:5" ht="28" customHeight="1" x14ac:dyDescent="0.35">
      <c r="A4" s="1" t="s">
        <v>63</v>
      </c>
      <c r="B4" s="1" t="s">
        <v>3</v>
      </c>
      <c r="C4" s="1" t="s">
        <v>5</v>
      </c>
      <c r="D4" s="1" t="s">
        <v>64</v>
      </c>
      <c r="E4" s="1" t="s">
        <v>65</v>
      </c>
    </row>
    <row r="5" spans="1:5" ht="28" customHeight="1" x14ac:dyDescent="0.35">
      <c r="A5" s="2" t="s">
        <v>66</v>
      </c>
      <c r="B5" s="2" t="s">
        <v>67</v>
      </c>
      <c r="C5" s="2" t="s">
        <v>27</v>
      </c>
      <c r="D5" s="2" t="s">
        <v>68</v>
      </c>
      <c r="E5" s="2" t="s">
        <v>69</v>
      </c>
    </row>
    <row r="6" spans="1:5" ht="28" customHeight="1" x14ac:dyDescent="0.35">
      <c r="A6" s="3" t="s">
        <v>70</v>
      </c>
      <c r="B6" s="3" t="s">
        <v>71</v>
      </c>
      <c r="C6" s="3" t="s">
        <v>27</v>
      </c>
      <c r="D6" s="3" t="s">
        <v>72</v>
      </c>
      <c r="E6" s="3" t="s">
        <v>73</v>
      </c>
    </row>
    <row r="7" spans="1:5" ht="28" customHeight="1" x14ac:dyDescent="0.35">
      <c r="A7" s="2" t="s">
        <v>74</v>
      </c>
      <c r="B7" s="2" t="s">
        <v>75</v>
      </c>
      <c r="C7" s="2" t="s">
        <v>27</v>
      </c>
      <c r="D7" s="2" t="s">
        <v>76</v>
      </c>
      <c r="E7" s="2" t="s">
        <v>77</v>
      </c>
    </row>
    <row r="8" spans="1:5" ht="28" customHeight="1" x14ac:dyDescent="0.35">
      <c r="A8" s="3" t="s">
        <v>16</v>
      </c>
      <c r="B8" s="3" t="s">
        <v>78</v>
      </c>
      <c r="C8" s="3" t="s">
        <v>27</v>
      </c>
      <c r="D8" s="3" t="s">
        <v>79</v>
      </c>
      <c r="E8" s="3" t="s">
        <v>80</v>
      </c>
    </row>
    <row r="9" spans="1:5" ht="28" customHeight="1" x14ac:dyDescent="0.35">
      <c r="A9" s="2" t="s">
        <v>81</v>
      </c>
      <c r="B9" s="2" t="s">
        <v>82</v>
      </c>
      <c r="C9" s="2" t="s">
        <v>27</v>
      </c>
      <c r="D9" s="2" t="s">
        <v>83</v>
      </c>
      <c r="E9" s="2" t="s">
        <v>84</v>
      </c>
    </row>
    <row r="10" spans="1:5" ht="28" customHeight="1" x14ac:dyDescent="0.35">
      <c r="A10" s="3" t="s">
        <v>85</v>
      </c>
      <c r="B10" s="3" t="s">
        <v>86</v>
      </c>
      <c r="C10" s="3" t="s">
        <v>27</v>
      </c>
      <c r="D10" s="3" t="s">
        <v>87</v>
      </c>
      <c r="E10" s="3" t="s">
        <v>88</v>
      </c>
    </row>
    <row r="11" spans="1:5" ht="28" customHeight="1" x14ac:dyDescent="0.35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</row>
  </sheetData>
  <autoFilter ref="A4:E11" xr:uid="{00000000-0009-0000-0000-000002000000}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7" customWidth="1"/>
    <col min="2" max="2" width="30" customWidth="1"/>
    <col min="3" max="3" width="48" customWidth="1"/>
    <col min="4" max="4" width="30" customWidth="1"/>
    <col min="5" max="5" width="32" customWidth="1"/>
  </cols>
  <sheetData>
    <row r="1" spans="1:5" ht="34" customHeight="1" x14ac:dyDescent="0.35">
      <c r="A1" s="7" t="s">
        <v>94</v>
      </c>
      <c r="B1" s="6"/>
      <c r="C1" s="6"/>
      <c r="D1" s="6"/>
      <c r="E1" s="6"/>
    </row>
    <row r="2" spans="1:5" ht="26" customHeight="1" x14ac:dyDescent="0.35">
      <c r="A2" s="5" t="s">
        <v>95</v>
      </c>
      <c r="B2" s="6"/>
      <c r="C2" s="6"/>
      <c r="D2" s="6"/>
      <c r="E2" s="6"/>
    </row>
    <row r="4" spans="1:5" ht="28" customHeight="1" x14ac:dyDescent="0.35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</row>
    <row r="5" spans="1:5" ht="28" customHeight="1" x14ac:dyDescent="0.35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</row>
    <row r="6" spans="1:5" ht="28" customHeight="1" x14ac:dyDescent="0.35">
      <c r="A6" s="3" t="s">
        <v>106</v>
      </c>
      <c r="B6" s="3" t="s">
        <v>107</v>
      </c>
      <c r="C6" s="3" t="s">
        <v>108</v>
      </c>
      <c r="D6" s="3" t="s">
        <v>109</v>
      </c>
      <c r="E6" s="3" t="s">
        <v>110</v>
      </c>
    </row>
    <row r="7" spans="1:5" ht="28" customHeight="1" x14ac:dyDescent="0.35">
      <c r="A7" s="2" t="s">
        <v>111</v>
      </c>
      <c r="B7" s="2" t="s">
        <v>112</v>
      </c>
      <c r="C7" s="2" t="s">
        <v>113</v>
      </c>
      <c r="D7" s="2" t="s">
        <v>114</v>
      </c>
      <c r="E7" s="2" t="s">
        <v>115</v>
      </c>
    </row>
    <row r="8" spans="1:5" ht="28" customHeight="1" x14ac:dyDescent="0.35">
      <c r="A8" s="3" t="s">
        <v>116</v>
      </c>
      <c r="B8" s="3" t="s">
        <v>117</v>
      </c>
      <c r="C8" s="3" t="s">
        <v>118</v>
      </c>
      <c r="D8" s="3" t="s">
        <v>119</v>
      </c>
      <c r="E8" s="3" t="s">
        <v>120</v>
      </c>
    </row>
    <row r="9" spans="1:5" ht="28" customHeight="1" x14ac:dyDescent="0.35">
      <c r="A9" s="2" t="s">
        <v>121</v>
      </c>
      <c r="B9" s="2" t="s">
        <v>122</v>
      </c>
      <c r="C9" s="2" t="s">
        <v>123</v>
      </c>
      <c r="D9" s="2" t="s">
        <v>124</v>
      </c>
      <c r="E9" s="2" t="s">
        <v>125</v>
      </c>
    </row>
  </sheetData>
  <autoFilter ref="A4:E9" xr:uid="{00000000-0009-0000-0000-000003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Test_Groups</vt:lpstr>
      <vt:lpstr>Security</vt:lpstr>
      <vt:lpstr>CI_Workflows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Stys</cp:lastModifiedBy>
  <dcterms:created xsi:type="dcterms:W3CDTF">2026-08-14T22:17:49Z</dcterms:created>
  <dcterms:modified xsi:type="dcterms:W3CDTF">2026-08-14T22:17:51Z</dcterms:modified>
</cp:coreProperties>
</file>