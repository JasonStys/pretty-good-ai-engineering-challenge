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son\Documents\Codex\2026-08-14\make-sure-that-the-code-runs\docs\"/>
    </mc:Choice>
  </mc:AlternateContent>
  <xr:revisionPtr revIDLastSave="0" documentId="13_ncr:1_{94EBC6AA-D5F9-4F9E-B4F8-5C5D1F8469A4}" xr6:coauthVersionLast="47" xr6:coauthVersionMax="47" xr10:uidLastSave="{00000000-0000-0000-0000-000000000000}"/>
  <bookViews>
    <workbookView xWindow="12230" yWindow="3900" windowWidth="9370" windowHeight="11710" xr2:uid="{00000000-000D-0000-FFFF-FFFF00000000}"/>
  </bookViews>
  <sheets>
    <sheet name="Performance" sheetId="1" r:id="rId1"/>
    <sheet name="Complexity" sheetId="2" r:id="rId2"/>
    <sheet name="Resource_Model" sheetId="3" r:id="rId3"/>
    <sheet name="Scenarios" sheetId="4" r:id="rId4"/>
  </sheets>
  <definedNames>
    <definedName name="_xlnm._FilterDatabase" localSheetId="1" hidden="1">Complexity!$A$4:$F$10</definedName>
    <definedName name="_xlnm._FilterDatabase" localSheetId="0" hidden="1">Performance!$A$4:$G$9</definedName>
    <definedName name="_xlnm._FilterDatabase" localSheetId="2" hidden="1">Resource_Model!$A$4:$E$11</definedName>
    <definedName name="_xlnm._FilterDatabase" localSheetId="3" hidden="1">Scenarios!$A$4:$E$17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4" l="1"/>
  <c r="D17" i="4"/>
  <c r="F7" i="1"/>
  <c r="E7" i="1"/>
  <c r="D7" i="1"/>
  <c r="C7" i="1"/>
  <c r="B7" i="1"/>
</calcChain>
</file>

<file path=xl/sharedStrings.xml><?xml version="1.0" encoding="utf-8"?>
<sst xmlns="http://schemas.openxmlformats.org/spreadsheetml/2006/main" count="162" uniqueCount="136">
  <si>
    <t>Engineering Performance Metrics</t>
  </si>
  <si>
    <t>Local benchmark; hosted model/network latency excluded</t>
  </si>
  <si>
    <t>Operation</t>
  </si>
  <si>
    <t>Repetitions</t>
  </si>
  <si>
    <t>Median μs</t>
  </si>
  <si>
    <t>P95 μs</t>
  </si>
  <si>
    <t>CPU s</t>
  </si>
  <si>
    <t>Peak bytes</t>
  </si>
  <si>
    <t>Expected Big-O</t>
  </si>
  <si>
    <t>hash-indexed scenario lookup</t>
  </si>
  <si>
    <t>O(1) average; O(n) adversarial worst case</t>
  </si>
  <si>
    <t>bounded patient prompt construction</t>
  </si>
  <si>
    <t>O(total scenario text length)</t>
  </si>
  <si>
    <t>AVERAGE</t>
  </si>
  <si>
    <t>Source: build/reports/performance.json, generated by scripts/benchmark.py. Results vary by host; CI enforces generous regression budgets.</t>
  </si>
  <si>
    <t>Algorithmic and Code Complexity</t>
  </si>
  <si>
    <t>Built-in structures and bounded streaming paths</t>
  </si>
  <si>
    <t>Operation / module</t>
  </si>
  <si>
    <t>Structure</t>
  </si>
  <si>
    <t>Expected time</t>
  </si>
  <si>
    <t>Memory</t>
  </si>
  <si>
    <t>Rationale</t>
  </si>
  <si>
    <t>Verification</t>
  </si>
  <si>
    <t>Scenario lookup</t>
  </si>
  <si>
    <t>dict</t>
  </si>
  <si>
    <t>O(1) average</t>
  </si>
  <si>
    <t>O(n) catalog</t>
  </si>
  <si>
    <t>Direct identifier index</t>
  </si>
  <si>
    <t>benchmark + unit test</t>
  </si>
  <si>
    <t>Audio buffering</t>
  </si>
  <si>
    <t>bytearray</t>
  </si>
  <si>
    <t>O(bytes)</t>
  </si>
  <si>
    <t>O(chunk)</t>
  </si>
  <si>
    <t>One reusable ~50 ms chunk</t>
  </si>
  <si>
    <t>bridge lifecycle tests</t>
  </si>
  <si>
    <t>Transcript conversion</t>
  </si>
  <si>
    <t>list + one pass</t>
  </si>
  <si>
    <t>O(n + chars)</t>
  </si>
  <si>
    <t>O(turns + chars)</t>
  </si>
  <si>
    <t>No nested history scan</t>
  </si>
  <si>
    <t>empirical exponent</t>
  </si>
  <si>
    <t>Artifact validation</t>
  </si>
  <si>
    <t>Counter + sets</t>
  </si>
  <si>
    <t>O(files + bytes)</t>
  </si>
  <si>
    <t>O(calls + findings)</t>
  </si>
  <si>
    <t>Collect all errors in one pass</t>
  </si>
  <si>
    <t>submission tests</t>
  </si>
  <si>
    <t>Bug aggregation</t>
  </si>
  <si>
    <t>list + Timsort</t>
  </si>
  <si>
    <t>O(i log i)</t>
  </si>
  <si>
    <t>O(i)</t>
  </si>
  <si>
    <t>Stable severity/title ordering</t>
  </si>
  <si>
    <t>artifact tests</t>
  </si>
  <si>
    <t>Cyclomatic complexity</t>
  </si>
  <si>
    <t>98 analyzed blocks</t>
  </si>
  <si>
    <t>Average A (2.64)</t>
  </si>
  <si>
    <t>N/A</t>
  </si>
  <si>
    <t>Radon; no D/E/F block</t>
  </si>
  <si>
    <t>performance workflow</t>
  </si>
  <si>
    <t>Resource and Usage Model</t>
  </si>
  <si>
    <t>Per-call metrics plus local benchmark context</t>
  </si>
  <si>
    <t>Metric</t>
  </si>
  <si>
    <t>Implementation</t>
  </si>
  <si>
    <t>Current value</t>
  </si>
  <si>
    <t>Budget / behavior</t>
  </si>
  <si>
    <t>Notes</t>
  </si>
  <si>
    <t>Coverage</t>
  </si>
  <si>
    <t>coverage.py branch measurement</t>
  </si>
  <si>
    <t>&gt;=90%</t>
  </si>
  <si>
    <t>54 tests</t>
  </si>
  <si>
    <t>Process RSS</t>
  </si>
  <si>
    <t>psutil snapshot</t>
  </si>
  <si>
    <t>reported, not hard-failed</t>
  </si>
  <si>
    <t>benchmark process</t>
  </si>
  <si>
    <t>Page faults</t>
  </si>
  <si>
    <t>OS process counter</t>
  </si>
  <si>
    <t>reported when supported</t>
  </si>
  <si>
    <t>Windows/Linux dependent</t>
  </si>
  <si>
    <t>GPU</t>
  </si>
  <si>
    <t>hosted inference</t>
  </si>
  <si>
    <t>no local allocation</t>
  </si>
  <si>
    <t>No local GPU path; speech and model inference use hosted APIs.</t>
  </si>
  <si>
    <t>Disk</t>
  </si>
  <si>
    <t>sum regular run files</t>
  </si>
  <si>
    <t>measured per live call</t>
  </si>
  <si>
    <t>no live calls yet</t>
  </si>
  <si>
    <t>Empirical growth exponent</t>
  </si>
  <si>
    <t>log-log fit</t>
  </si>
  <si>
    <t>&lt;=1.4</t>
  </si>
  <si>
    <t>linear</t>
  </si>
  <si>
    <t>Live runtime</t>
  </si>
  <si>
    <t>monotonic wall clock</t>
  </si>
  <si>
    <t>1–3 min expected</t>
  </si>
  <si>
    <t>awaiting genuine calls</t>
  </si>
  <si>
    <t>Scenario Coverage</t>
  </si>
  <si>
    <t>Twelve synthetic patient behaviors; run at least ten distinct calls</t>
  </si>
  <si>
    <t>ID</t>
  </si>
  <si>
    <t>Category</t>
  </si>
  <si>
    <t>Primary behavior</t>
  </si>
  <si>
    <t>Live status</t>
  </si>
  <si>
    <t>Data classification</t>
  </si>
  <si>
    <t>new-patient-scheduling</t>
  </si>
  <si>
    <t>scheduling</t>
  </si>
  <si>
    <t>complete booking and read-back</t>
  </si>
  <si>
    <t>PENDING</t>
  </si>
  <si>
    <t>synthetic</t>
  </si>
  <si>
    <t>reschedule-existing-visit</t>
  </si>
  <si>
    <t>rescheduling</t>
  </si>
  <si>
    <t>preserve appointment type</t>
  </si>
  <si>
    <t>cancel-and-waitlist</t>
  </si>
  <si>
    <t>avoid wrong cancellation</t>
  </si>
  <si>
    <t>routine-refill-request</t>
  </si>
  <si>
    <t>refill</t>
  </si>
  <si>
    <t>medication/pharmacy safety</t>
  </si>
  <si>
    <t>hours-location-insurance</t>
  </si>
  <si>
    <t>practice information</t>
  </si>
  <si>
    <t>logistics and insurance boundary</t>
  </si>
  <si>
    <t>closed-day-boundary</t>
  </si>
  <si>
    <t>reject unavailable day</t>
  </si>
  <si>
    <t>urgent-symptom-escalation</t>
  </si>
  <si>
    <t>safety</t>
  </si>
  <si>
    <t>escalate without diagnosis</t>
  </si>
  <si>
    <t>privacy-boundary</t>
  </si>
  <si>
    <t>privacy</t>
  </si>
  <si>
    <t>protect another adult</t>
  </si>
  <si>
    <t>interruption-and-correction</t>
  </si>
  <si>
    <t>conversation quality</t>
  </si>
  <si>
    <t>barge-in and correction</t>
  </si>
  <si>
    <t>spanish-information-request</t>
  </si>
  <si>
    <t>multilingual</t>
  </si>
  <si>
    <t>language continuity</t>
  </si>
  <si>
    <t>hearing-accessibility</t>
  </si>
  <si>
    <t>pace and repetition</t>
  </si>
  <si>
    <t>conflicting-demographics</t>
  </si>
  <si>
    <t>identity conflict handling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</si>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</sst>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5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i/>
      <sz val="10"/>
      <color rgb="FF5B6573"/>
      <name val="Aptos"/>
    </font>
    <font>
      <b/>
      <sz val="11"/>
      <color rgb="FFFFFFFF"/>
      <name val="Aptos"/>
    </font>
    <font>
      <sz val="10"/>
      <color rgb="FF1F2937"/>
      <name val="Aptos"/>
    </font>
  </fonts>
  <fills count="5">
    <fill>
      <patternFill patternType="none"/>
    </fill>
    <fill>
      <patternFill patternType="gray125"/>
    </fill>
    <fill>
      <patternFill patternType="solid">
        <fgColor rgb="FF15253D"/>
      </patternFill>
    </fill>
    <fill>
      <patternFill patternType="solid">
        <fgColor rgb="FF1F6FE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center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tabSelected="1" workbookViewId="0">
      <pane ySplit="4" topLeftCell="A5" activePane="bottomLeft" state="frozen"/>
      <selection pane="bottomLeft" sqref="A1:G1"/>
    </sheetView>
  </sheetViews>
  <sheetFormatPr defaultRowHeight="14.5" x14ac:dyDescent="0.35"/>
  <cols>
    <col min="1" max="1" width="38" customWidth="1"/>
    <col min="2" max="2" width="14" customWidth="1"/>
    <col min="3" max="4" width="16" customWidth="1"/>
    <col min="5" max="5" width="14" customWidth="1"/>
    <col min="6" max="6" width="18" customWidth="1"/>
    <col min="7" max="7" width="42" customWidth="1"/>
  </cols>
  <sheetData>
    <row r="1" spans="1:7" ht="34" customHeight="1" x14ac:dyDescent="0.35">
      <c r="A1" s="7" t="s">
        <v>0</v>
      </c>
      <c r="B1" s="6"/>
      <c r="C1" s="6"/>
      <c r="D1" s="6"/>
      <c r="E1" s="6"/>
      <c r="F1" s="6"/>
      <c r="G1" s="6"/>
    </row>
    <row r="2" spans="1:7" ht="26" customHeight="1" x14ac:dyDescent="0.35">
      <c r="A2" s="5" t="s">
        <v>1</v>
      </c>
      <c r="B2" s="6"/>
      <c r="C2" s="6"/>
      <c r="D2" s="6"/>
      <c r="E2" s="6"/>
      <c r="F2" s="6"/>
      <c r="G2" s="6"/>
    </row>
    <row r="4" spans="1:7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8" customHeight="1" x14ac:dyDescent="0.35">
      <c r="A5" s="2" t="s">
        <v>9</v>
      </c>
      <c r="B5" s="2">
        <v>10000</v>
      </c>
      <c r="C5" s="2">
        <v>0.5</v>
      </c>
      <c r="D5" s="2">
        <v>0.8</v>
      </c>
      <c r="E5" s="2">
        <v>3.125E-2</v>
      </c>
      <c r="F5" s="2">
        <v>325252</v>
      </c>
      <c r="G5" s="2" t="s">
        <v>10</v>
      </c>
    </row>
    <row r="6" spans="1:7" ht="28" customHeight="1" x14ac:dyDescent="0.35">
      <c r="A6" s="3" t="s">
        <v>11</v>
      </c>
      <c r="B6" s="3">
        <v>2000</v>
      </c>
      <c r="C6" s="3">
        <v>22.8</v>
      </c>
      <c r="D6" s="3">
        <v>42.9</v>
      </c>
      <c r="E6" s="3">
        <v>6.25E-2</v>
      </c>
      <c r="F6" s="3">
        <v>68365</v>
      </c>
      <c r="G6" s="3" t="s">
        <v>12</v>
      </c>
    </row>
    <row r="7" spans="1:7" ht="28" customHeight="1" x14ac:dyDescent="0.35">
      <c r="A7" s="2" t="s">
        <v>13</v>
      </c>
      <c r="B7" s="2">
        <f>SUM(B5:B6)</f>
        <v>12000</v>
      </c>
      <c r="C7" s="2">
        <f>AVERAGE(C5:C6)</f>
        <v>11.65</v>
      </c>
      <c r="D7" s="2">
        <f>AVERAGE(D5:D6)</f>
        <v>21.849999999999998</v>
      </c>
      <c r="E7" s="2">
        <f>SUM(E5:E6)</f>
        <v>9.375E-2</v>
      </c>
      <c r="F7" s="2">
        <f>MAX(F5:F6)</f>
        <v>325252</v>
      </c>
      <c r="G7" s="2"/>
    </row>
    <row r="8" spans="1:7" ht="28" customHeight="1" x14ac:dyDescent="0.35">
      <c r="A8" s="3"/>
      <c r="B8" s="3"/>
      <c r="C8" s="3"/>
      <c r="D8" s="3"/>
      <c r="E8" s="3"/>
      <c r="F8" s="3"/>
      <c r="G8" s="3"/>
    </row>
    <row r="9" spans="1:7" ht="28" customHeight="1" x14ac:dyDescent="0.35">
      <c r="A9" s="8" t="s">
        <v>14</v>
      </c>
      <c r="B9" s="8"/>
      <c r="C9" s="8"/>
      <c r="D9" s="8"/>
      <c r="E9" s="8"/>
      <c r="F9" s="8"/>
      <c r="G9" s="8"/>
    </row>
  </sheetData>
  <autoFilter ref="A4:G9" xr:uid="{00000000-0009-0000-0000-000000000000}"/>
  <mergeCells count="3">
    <mergeCell ref="A2:G2"/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1" customWidth="1"/>
    <col min="2" max="2" width="25" customWidth="1"/>
    <col min="3" max="3" width="28" customWidth="1"/>
    <col min="4" max="4" width="25" customWidth="1"/>
    <col min="5" max="5" width="42" customWidth="1"/>
    <col min="6" max="6" width="32" customWidth="1"/>
  </cols>
  <sheetData>
    <row r="1" spans="1:6" ht="34" customHeight="1" x14ac:dyDescent="0.35">
      <c r="A1" s="7" t="s">
        <v>15</v>
      </c>
      <c r="B1" s="6"/>
      <c r="C1" s="6"/>
      <c r="D1" s="6"/>
      <c r="E1" s="6"/>
      <c r="F1" s="6"/>
    </row>
    <row r="2" spans="1:6" ht="26" customHeight="1" x14ac:dyDescent="0.35">
      <c r="A2" s="5" t="s">
        <v>16</v>
      </c>
      <c r="B2" s="6"/>
      <c r="C2" s="6"/>
      <c r="D2" s="6"/>
      <c r="E2" s="6"/>
      <c r="F2" s="6"/>
    </row>
    <row r="4" spans="1:6" ht="28" customHeight="1" x14ac:dyDescent="0.3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ht="28" customHeight="1" x14ac:dyDescent="0.3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28" customHeight="1" x14ac:dyDescent="0.35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</row>
    <row r="7" spans="1:6" ht="28" customHeight="1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 spans="1:6" ht="28" customHeight="1" x14ac:dyDescent="0.35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</row>
    <row r="9" spans="1:6" ht="28" customHeight="1" x14ac:dyDescent="0.3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</row>
    <row r="10" spans="1:6" ht="28" customHeight="1" x14ac:dyDescent="0.35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</row>
  </sheetData>
  <autoFilter ref="A4:F10" xr:uid="{00000000-0009-0000-0000-000001000000}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1" customWidth="1"/>
    <col min="2" max="2" width="34" customWidth="1"/>
    <col min="3" max="3" width="20" customWidth="1"/>
    <col min="4" max="4" width="30" customWidth="1"/>
    <col min="5" max="5" width="47" customWidth="1"/>
  </cols>
  <sheetData>
    <row r="1" spans="1:5" ht="34" customHeight="1" x14ac:dyDescent="0.35">
      <c r="A1" s="7" t="s">
        <v>59</v>
      </c>
      <c r="B1" s="6"/>
      <c r="C1" s="6"/>
      <c r="D1" s="6"/>
      <c r="E1" s="6"/>
    </row>
    <row r="2" spans="1:5" ht="26" customHeight="1" x14ac:dyDescent="0.35">
      <c r="A2" s="5" t="s">
        <v>60</v>
      </c>
      <c r="B2" s="6"/>
      <c r="C2" s="6"/>
      <c r="D2" s="6"/>
      <c r="E2" s="6"/>
    </row>
    <row r="4" spans="1:5" ht="28" customHeight="1" x14ac:dyDescent="0.35">
      <c r="A4" s="1" t="s">
        <v>61</v>
      </c>
      <c r="B4" s="1" t="s">
        <v>62</v>
      </c>
      <c r="C4" s="1" t="s">
        <v>63</v>
      </c>
      <c r="D4" s="1" t="s">
        <v>64</v>
      </c>
      <c r="E4" s="1" t="s">
        <v>65</v>
      </c>
    </row>
    <row r="5" spans="1:5" ht="28" customHeight="1" x14ac:dyDescent="0.35">
      <c r="A5" s="2" t="s">
        <v>66</v>
      </c>
      <c r="B5" s="2" t="s">
        <v>67</v>
      </c>
      <c r="C5" s="4">
        <v>91.466922339405556</v>
      </c>
      <c r="D5" s="2" t="s">
        <v>68</v>
      </c>
      <c r="E5" s="2" t="s">
        <v>69</v>
      </c>
    </row>
    <row r="6" spans="1:5" ht="28" customHeight="1" x14ac:dyDescent="0.35">
      <c r="A6" s="3" t="s">
        <v>70</v>
      </c>
      <c r="B6" s="3" t="s">
        <v>71</v>
      </c>
      <c r="C6" s="3">
        <v>34009088</v>
      </c>
      <c r="D6" s="3" t="s">
        <v>72</v>
      </c>
      <c r="E6" s="3" t="s">
        <v>73</v>
      </c>
    </row>
    <row r="7" spans="1:5" ht="28" customHeight="1" x14ac:dyDescent="0.35">
      <c r="A7" s="2" t="s">
        <v>74</v>
      </c>
      <c r="B7" s="2" t="s">
        <v>75</v>
      </c>
      <c r="C7" s="2">
        <v>452</v>
      </c>
      <c r="D7" s="2" t="s">
        <v>76</v>
      </c>
      <c r="E7" s="2" t="s">
        <v>77</v>
      </c>
    </row>
    <row r="8" spans="1:5" ht="28" customHeight="1" x14ac:dyDescent="0.35">
      <c r="A8" s="3" t="s">
        <v>78</v>
      </c>
      <c r="B8" s="3" t="s">
        <v>79</v>
      </c>
      <c r="C8" s="3">
        <v>0</v>
      </c>
      <c r="D8" s="3" t="s">
        <v>80</v>
      </c>
      <c r="E8" s="3" t="s">
        <v>81</v>
      </c>
    </row>
    <row r="9" spans="1:5" ht="28" customHeight="1" x14ac:dyDescent="0.35">
      <c r="A9" s="2" t="s">
        <v>82</v>
      </c>
      <c r="B9" s="2" t="s">
        <v>83</v>
      </c>
      <c r="C9" s="2">
        <v>0</v>
      </c>
      <c r="D9" s="2" t="s">
        <v>84</v>
      </c>
      <c r="E9" s="2" t="s">
        <v>85</v>
      </c>
    </row>
    <row r="10" spans="1:5" ht="28" customHeight="1" x14ac:dyDescent="0.35">
      <c r="A10" s="3" t="s">
        <v>86</v>
      </c>
      <c r="B10" s="3" t="s">
        <v>87</v>
      </c>
      <c r="C10" s="3">
        <v>1.006</v>
      </c>
      <c r="D10" s="3" t="s">
        <v>88</v>
      </c>
      <c r="E10" s="3" t="s">
        <v>89</v>
      </c>
    </row>
    <row r="11" spans="1:5" ht="28" customHeight="1" x14ac:dyDescent="0.35">
      <c r="A11" s="2" t="s">
        <v>90</v>
      </c>
      <c r="B11" s="2" t="s">
        <v>91</v>
      </c>
      <c r="C11" s="2">
        <v>0</v>
      </c>
      <c r="D11" s="2" t="s">
        <v>92</v>
      </c>
      <c r="E11" s="2" t="s">
        <v>93</v>
      </c>
    </row>
  </sheetData>
  <autoFilter ref="A4:E11" xr:uid="{00000000-0009-0000-0000-000002000000}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2" width="25" customWidth="1"/>
    <col min="3" max="3" width="43" customWidth="1"/>
    <col min="4" max="4" width="16" customWidth="1"/>
    <col min="5" max="5" width="22" customWidth="1"/>
  </cols>
  <sheetData>
    <row r="1" spans="1:5" ht="34" customHeight="1" x14ac:dyDescent="0.35">
      <c r="A1" s="7" t="s">
        <v>94</v>
      </c>
      <c r="B1" s="6"/>
      <c r="C1" s="6"/>
      <c r="D1" s="6"/>
      <c r="E1" s="6"/>
    </row>
    <row r="2" spans="1:5" ht="26" customHeight="1" x14ac:dyDescent="0.35">
      <c r="A2" s="5" t="s">
        <v>95</v>
      </c>
      <c r="B2" s="6"/>
      <c r="C2" s="6"/>
      <c r="D2" s="6"/>
      <c r="E2" s="6"/>
    </row>
    <row r="4" spans="1:5" ht="28" customHeight="1" x14ac:dyDescent="0.35">
      <c r="A4" s="1" t="s">
        <v>96</v>
      </c>
      <c r="B4" s="1" t="s">
        <v>97</v>
      </c>
      <c r="C4" s="1" t="s">
        <v>98</v>
      </c>
      <c r="D4" s="1" t="s">
        <v>99</v>
      </c>
      <c r="E4" s="1" t="s">
        <v>100</v>
      </c>
    </row>
    <row r="5" spans="1:5" ht="28" customHeight="1" x14ac:dyDescent="0.35">
      <c r="A5" s="2" t="s">
        <v>101</v>
      </c>
      <c r="B5" s="2" t="s">
        <v>102</v>
      </c>
      <c r="C5" s="2" t="s">
        <v>103</v>
      </c>
      <c r="D5" s="2" t="s">
        <v>104</v>
      </c>
      <c r="E5" s="2" t="s">
        <v>105</v>
      </c>
    </row>
    <row r="6" spans="1:5" ht="28" customHeight="1" x14ac:dyDescent="0.35">
      <c r="A6" s="3" t="s">
        <v>106</v>
      </c>
      <c r="B6" s="3" t="s">
        <v>107</v>
      </c>
      <c r="C6" s="3" t="s">
        <v>108</v>
      </c>
      <c r="D6" s="3" t="s">
        <v>104</v>
      </c>
      <c r="E6" s="3" t="s">
        <v>105</v>
      </c>
    </row>
    <row r="7" spans="1:5" ht="28" customHeight="1" x14ac:dyDescent="0.35">
      <c r="A7" s="2" t="s">
        <v>109</v>
      </c>
      <c r="B7" s="2" t="s">
        <v>102</v>
      </c>
      <c r="C7" s="2" t="s">
        <v>110</v>
      </c>
      <c r="D7" s="2" t="s">
        <v>104</v>
      </c>
      <c r="E7" s="2" t="s">
        <v>105</v>
      </c>
    </row>
    <row r="8" spans="1:5" ht="28" customHeight="1" x14ac:dyDescent="0.35">
      <c r="A8" s="3" t="s">
        <v>111</v>
      </c>
      <c r="B8" s="3" t="s">
        <v>112</v>
      </c>
      <c r="C8" s="3" t="s">
        <v>113</v>
      </c>
      <c r="D8" s="3" t="s">
        <v>104</v>
      </c>
      <c r="E8" s="3" t="s">
        <v>105</v>
      </c>
    </row>
    <row r="9" spans="1:5" ht="28" customHeight="1" x14ac:dyDescent="0.35">
      <c r="A9" s="2" t="s">
        <v>114</v>
      </c>
      <c r="B9" s="2" t="s">
        <v>115</v>
      </c>
      <c r="C9" s="2" t="s">
        <v>116</v>
      </c>
      <c r="D9" s="2" t="s">
        <v>104</v>
      </c>
      <c r="E9" s="2" t="s">
        <v>105</v>
      </c>
    </row>
    <row r="10" spans="1:5" ht="28" customHeight="1" x14ac:dyDescent="0.35">
      <c r="A10" s="3" t="s">
        <v>117</v>
      </c>
      <c r="B10" s="3" t="s">
        <v>102</v>
      </c>
      <c r="C10" s="3" t="s">
        <v>118</v>
      </c>
      <c r="D10" s="3" t="s">
        <v>104</v>
      </c>
      <c r="E10" s="3" t="s">
        <v>105</v>
      </c>
    </row>
    <row r="11" spans="1:5" ht="28" customHeight="1" x14ac:dyDescent="0.35">
      <c r="A11" s="2" t="s">
        <v>119</v>
      </c>
      <c r="B11" s="2" t="s">
        <v>120</v>
      </c>
      <c r="C11" s="2" t="s">
        <v>121</v>
      </c>
      <c r="D11" s="2" t="s">
        <v>104</v>
      </c>
      <c r="E11" s="2" t="s">
        <v>105</v>
      </c>
    </row>
    <row r="12" spans="1:5" ht="28" customHeight="1" x14ac:dyDescent="0.35">
      <c r="A12" s="3" t="s">
        <v>122</v>
      </c>
      <c r="B12" s="3" t="s">
        <v>123</v>
      </c>
      <c r="C12" s="3" t="s">
        <v>124</v>
      </c>
      <c r="D12" s="3" t="s">
        <v>104</v>
      </c>
      <c r="E12" s="3" t="s">
        <v>105</v>
      </c>
    </row>
    <row r="13" spans="1:5" ht="28" customHeight="1" x14ac:dyDescent="0.35">
      <c r="A13" s="2" t="s">
        <v>125</v>
      </c>
      <c r="B13" s="2" t="s">
        <v>126</v>
      </c>
      <c r="C13" s="2" t="s">
        <v>127</v>
      </c>
      <c r="D13" s="2" t="s">
        <v>104</v>
      </c>
      <c r="E13" s="2" t="s">
        <v>105</v>
      </c>
    </row>
    <row r="14" spans="1:5" ht="28" customHeight="1" x14ac:dyDescent="0.35">
      <c r="A14" s="3" t="s">
        <v>128</v>
      </c>
      <c r="B14" s="3" t="s">
        <v>129</v>
      </c>
      <c r="C14" s="3" t="s">
        <v>130</v>
      </c>
      <c r="D14" s="3" t="s">
        <v>104</v>
      </c>
      <c r="E14" s="3" t="s">
        <v>105</v>
      </c>
    </row>
    <row r="15" spans="1:5" ht="28" customHeight="1" x14ac:dyDescent="0.35">
      <c r="A15" s="2" t="s">
        <v>131</v>
      </c>
      <c r="B15" s="2" t="s">
        <v>126</v>
      </c>
      <c r="C15" s="2" t="s">
        <v>132</v>
      </c>
      <c r="D15" s="2" t="s">
        <v>104</v>
      </c>
      <c r="E15" s="2" t="s">
        <v>105</v>
      </c>
    </row>
    <row r="16" spans="1:5" ht="28" customHeight="1" x14ac:dyDescent="0.35">
      <c r="A16" s="3" t="s">
        <v>133</v>
      </c>
      <c r="B16" s="3" t="s">
        <v>123</v>
      </c>
      <c r="C16" s="3" t="s">
        <v>134</v>
      </c>
      <c r="D16" s="3" t="s">
        <v>104</v>
      </c>
      <c r="E16" s="3" t="s">
        <v>105</v>
      </c>
    </row>
    <row r="17" spans="1:5" ht="28" customHeight="1" x14ac:dyDescent="0.35">
      <c r="A17" s="2" t="s">
        <v>135</v>
      </c>
      <c r="B17" s="2"/>
      <c r="C17" s="2"/>
      <c r="D17" s="2">
        <f>COUNTIF(D5:D16,"PASS")</f>
        <v>0</v>
      </c>
      <c r="E17" s="2">
        <f>COUNTA(E5:E16)</f>
        <v>12</v>
      </c>
    </row>
  </sheetData>
  <autoFilter ref="A4:E17" xr:uid="{00000000-0009-0000-0000-000003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</vt:lpstr>
      <vt:lpstr>Complexity</vt:lpstr>
      <vt:lpstr>Resource_Model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Stys</cp:lastModifiedBy>
  <dcterms:created xsi:type="dcterms:W3CDTF">2026-08-14T22:17:49Z</dcterms:created>
  <dcterms:modified xsi:type="dcterms:W3CDTF">2026-08-14T22:17:51Z</dcterms:modified>
</cp:coreProperties>
</file>